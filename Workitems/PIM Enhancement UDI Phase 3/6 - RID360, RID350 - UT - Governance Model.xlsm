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372AB895-14C1-FC20-EB20-F1B4BCFD95A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Baxter\MDM\Sprints\UDI Phase 3\1 - UT\Upload\"/>
    </mc:Choice>
  </mc:AlternateContent>
  <xr:revisionPtr revIDLastSave="0" documentId="13_ncr:1_{D745678A-E60D-4685-BAE2-E1851EFD3E7E}" xr6:coauthVersionLast="47" xr6:coauthVersionMax="47" xr10:uidLastSave="{00000000-0000-0000-0000-000000000000}"/>
  <bookViews>
    <workbookView xWindow="-108" yWindow="-108" windowWidth="23256" windowHeight="12456" tabRatio="836" firstSheet="3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CONDITIONS'!$A$1:$P$5</definedName>
    <definedName name="_xlnm._FilterDatabase" localSheetId="5" hidden="1">'BUSINESS CONDITIONS LOCALE'!$A$1:$E$1</definedName>
    <definedName name="_xlnm._FilterDatabase" localSheetId="3" hidden="1">'BUSINESS RULES'!$A$1:$M$7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7" hidden="1">CONTEXTS!$A$1:$J$1</definedName>
    <definedName name="_xlnm._FilterDatabase" localSheetId="6" hidden="1">'GOVERNANCE MAPPING'!$A$1:$M$1</definedName>
    <definedName name="_FilterDatabase_0" localSheetId="3">'BUSINESS RULES'!$A$1:$K$1</definedName>
    <definedName name="_FilterDatabase_0" localSheetId="8">'CONTENT CONFIG'!$A$1:$J$1</definedName>
    <definedName name="_FilterDatabase_0_0" localSheetId="3">'BUSINESS RULES'!$A$1:$K$1</definedName>
    <definedName name="_FilterDatabase_0_0" localSheetId="8">'CONTENT CONFIG'!$A$1:$J$1</definedName>
    <definedName name="_FilterDatabase_0_0_0" localSheetId="3">'BUSINESS RULES'!$A$1:$K$1</definedName>
    <definedName name="_FilterDatabase_0_0_0" localSheetId="8">'CONTENT CONFIG'!$A$1:$J$1</definedName>
    <definedName name="_FilterDatabase_0_0_0_0" localSheetId="3">'BUSINESS RULES'!$A$1:$K$1</definedName>
    <definedName name="_FilterDatabase_0_0_0_0" localSheetId="8">'CONTENT CONFIG'!$A$1:$J$1</definedName>
    <definedName name="_FilterDatabase_0_0_0_0_0" localSheetId="3">'BUSINESS RULES'!$A$1:$K$1</definedName>
    <definedName name="_FilterDatabase_0_0_0_0_0" localSheetId="8">'CONTENT CONFIG'!$A$1:$J$1</definedName>
    <definedName name="_FilterDatabase_0_0_0_0_0_0" localSheetId="3">'BUSINESS RULES'!$A$1:$K$1</definedName>
    <definedName name="_FilterDatabase_0_0_0_0_0_0" localSheetId="8">'CONTENT CONFIG'!$A$1:$J$1</definedName>
    <definedName name="_FilterDatabase_0_0_0_0_0_0_0" localSheetId="3">'BUSINESS RULES'!$A$1:$K$1</definedName>
    <definedName name="_FilterDatabase_0_0_0_0_0_0_0" localSheetId="8">'CONTENT CONFIG'!$A$1:$J$1</definedName>
    <definedName name="_FilterDatabase_0_0_0_0_0_0_0_0" localSheetId="3">'BUSINESS RULES'!$A$1:$K$1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CONDITIONS'!$A$1:$AI$77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RULES'!$A$1:$K$1</definedName>
    <definedName name="Z_F59B42B5_12A6_408C_8984_297F5E3274B0_.wvu.FilterData" localSheetId="4">'BUSINESS CONDITIONS'!$A$1:$AI$77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RULES'!$A$1:$K$1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L1" authorId="0" shapeId="0" xr:uid="{859EE5C7-1DF0-47E0-9041-47CE59DB2E85}">
      <text>
        <r>
          <rPr>
            <b/>
            <sz val="9"/>
            <color indexed="81"/>
            <rFont val="Tahoma"/>
          </rPr>
          <t>Information:</t>
        </r>
        <r>
          <rPr>
            <sz val="9"/>
            <color indexed="81"/>
            <rFont val="Tahoma"/>
          </rPr>
          <t xml:space="preserve">
Only numeric or [DELETE] value is allowed</t>
        </r>
      </text>
    </comment>
  </commentList>
</comments>
</file>

<file path=xl/sharedStrings.xml><?xml version="1.0" encoding="utf-8"?>
<sst xmlns="http://schemas.openxmlformats.org/spreadsheetml/2006/main" count="273" uniqueCount="158">
  <si>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</si>
  <si>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</si>
  <si>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</si>
  <si>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</si>
  <si>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</si>
  <si>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</si>
  <si>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</si>
  <si>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</si>
  <si>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</si>
  <si>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</si>
  <si>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</si>
  <si>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</si>
  <si>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</si>
  <si>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</si>
  <si>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</si>
  <si>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</si>
  <si>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</si>
  <si>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</si>
  <si>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</si>
  <si>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</si>
  <si>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</si>
  <si>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</si>
  <si>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</si>
  <si>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</si>
  <si>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</si>
  <si>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</si>
  <si>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</si>
  <si>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</si>
  <si>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</si>
  <si>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</si>
  <si>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</si>
  <si>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</si>
  <si>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</si>
  <si>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</si>
  <si>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</si>
  <si>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</si>
  <si>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</si>
  <si>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</si>
  <si>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</si>
  <si>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</si>
  <si>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</si>
  <si>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</si>
  <si>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</si>
  <si>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</si>
  <si>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</si>
  <si>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</si>
  <si>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</si>
  <si>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</si>
  <si>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</si>
  <si>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</si>
  <si>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</si>
  <si>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</si>
  <si>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</si>
  <si>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</si>
  <si>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</si>
  <si>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</si>
  <si>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</si>
  <si>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</si>
  <si>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</si>
  <si>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</si>
  <si>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</si>
  <si>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</si>
  <si>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</si>
  <si>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</si>
  <si>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</si>
  <si>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</si>
  <si>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</si>
  <si>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</si>
  <si>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</si>
  <si>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</si>
  <si>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</si>
  <si>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</si>
  <si>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</si>
  <si>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</si>
  <si>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</si>
  <si>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</si>
  <si>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</si>
  <si>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</si>
  <si>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</si>
  <si>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</si>
  <si>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</si>
  <si>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</si>
  <si>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</si>
  <si>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</si>
  <si>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</si>
  <si>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</si>
  <si>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</si>
  <si>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</si>
  <si>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LOCALE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</si>
  <si>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</si>
  <si>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</si>
  <si>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</si>
  <si>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</si>
  <si>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</si>
  <si>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</si>
  <si>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</si>
  <si>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</si>
  <si>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</si>
  <si>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</si>
  <si>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</si>
  <si>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</si>
  <si>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</si>
  <si>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</si>
  <si>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</si>
  <si>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</si>
  <si>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</si>
  <si>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</si>
  <si>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</si>
  <si>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</si>
  <si>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</si>
  <si>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</si>
  <si>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</si>
  <si>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</si>
  <si>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</si>
  <si>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</si>
  <si>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BUSINESS CONDITION WEIGHTAGE</t>
  </si>
  <si>
    <t>Required PDO attributes for XUDI PDO Enrichment</t>
  </si>
  <si>
    <t>udirequiredpdoattributesforregulatedxudipdoenrichment</t>
  </si>
  <si>
    <t>Required PDO attributes for XUDI PDO udi Enrichment</t>
  </si>
  <si>
    <t>udimandatoryattributesofpdoudidIdatabydevicetype</t>
  </si>
  <si>
    <t>varentityidmdr:="";
varentityidmdrspp:="";
varentityidivdr:="";
varrefattributes:="";
varudidevicetype:=GetAttributeValue["_DEFAULT","_DEFAULT","udidevicetype"];
varworkflowstatus:=GetAttributeValue["_DEFAULT","_DEFAULT","udiworkflowstatus"];
vareudamedflag:= GetAttributeValue["_DEFAULT","_DEFAULT","udieudamedflg"];
varexecution:="false";
IIF[(varworkflowstatus="In Progress" OR varworkflowstatus="Maintenance - In Progress") AND IsNullOrEmpty[vareudamedflag] = false AND vareudamedflag=3,SetVariable["varexecution","true"],false] 
 AND 
IIF[ varexecution="true" AND 
 IsNullOrEmpty[varudidevicetype]=false AND varudidevicetype="MDR",
 SetVariable["varentityidmdr",GetEntityId["ANDACROSS","refdevicetypemandatoryattributes","self:self","refroletype:_DEFAULT:_DEFAULT:exact:PDO - UDI-DI Data",
"refdevicetype:_DEFAULT:_DEFAULT:exact:MDR"]] AND
SetVariable["varrefattributes",GetEntityAttributeValueById["_DEFAULT","_DEFAULT",varentityidmdr,"refdevicetypemandatoryattributes","refattributes"]]
 ,false]
 AND
IIF[ varexecution="true" AND 
 IsNullOrEmpty[varudidevicetype]=false AND varudidevicetype="MDR-SPP",
 SetVariable["varentityidmdrspp",GetEntityId["ANDACROSS","refdevicetypemandatoryattributes","self:self","refroletype:_DEFAULT:_DEFAULT:exact:PDO - UDI-DI Data",
"refdevicetype:_DEFAULT:_DEFAULT:exact:MDR-SPP"]] AND
SetVariable["varrefattributes",GetEntityAttributeValueById["_DEFAULT","_DEFAULT",varentityidmdrspp,"refdevicetypemandatoryattributes","refattributes"]]
 ,false] 
 AND 
IIF[ varexecution="true" AND 
 IsNullOrEmpty[varudidevicetype]=false AND varudidevicetype="IVDR",
 SetVariable["varentityidivdr",GetEntityId["ANDACROSS","refdevicetypemandatoryattributes","self:self","refroletype:_DEFAULT:_DEFAULT:exact:PDO - UDI-DI Data",
"refdevicetype:_DEFAULT:_DEFAULT:exact:IVDR"]] AND
SetVariable["varrefattributes",GetEntityAttributeValueById["_DEFAULT","_DEFAULT",varentityidivdr,"refdevicetypemandatoryattributes","refattributes"]]
 ,false] 
 AND 
IIF[varexecution="true" AND  
 IsNullOrEmpty[varrefattributes]=false,
 ITERATE[
 varrefattributes,
 '
 IIF[
 ValidateEmptyAttributes["_DEFAULT","_DEFAULT",ITERATIONITEM],
 AddAttributeError["_DEFAULT","_DEFAULT","Req001","Required",ITERATIONITEM],
 AddAttributeInformation["_DEFAULT","_DEFAULT","SY001","Valid",ITERATIONITEM]
 ]
 '
 ],
 false
]</t>
  </si>
  <si>
    <t>Mandatory attributes of PDO - UDI-DI Data by device type</t>
  </si>
  <si>
    <t>BR-UDI-132 - Mandatory attributes of PDO - UDI-DI Data by device type</t>
  </si>
  <si>
    <t>udibxsterilizationmethodskutp</t>
  </si>
  <si>
    <t>varudipackagedlabeledsterile:=GetAttributeValue["_DEFAULT","_DEFAULT","udipackagedlabeledsterile"];varbxsterilmeth:=GetAttributeValue["_DEFAULT","_DEFAULT","bxsterilmeth"];varbxsterilmeth:=GetAttributeValueReferenceId["_DEFAULT","_DEFAULT","bxsterilmeth"];varbxsterilmethcode:=GetEntityAttributeValueById["_DEFAULT","_DEFAULT",varbxsterilmeth,"udc59ts","refcode"];
IIF[(IsEntityInWorkflow["wfsixteenstepone"] OR IsEntityInWorkflow["wftensteptwo","wftensteptwoa"])  AND varudipackagedlabeledsterile="No" AND (IsNullOrEmpty[varbxsterilmeth] OR varbxsterilmethcode&lt;&gt;"NS"),AddAttributeError["_DEFAULT","_DEFAULT","GEN001","Required and only 'NS' is allowed||","bxsterilmeth"],false] AND 
IIF[(IsEntityInWorkflow["wfsixteenstepone"] OR IsEntityInWorkflow["wftensteptwo","wftensteptwoa"])  AND varudipackagedlabeledsterile="No" AND (IsNullOrEmpty[varbxsterilmeth]=false AND varbxsterilmethcode="NS"),AddAttributeInformation["_DEFAULT","_DEFAULT","SYS001","","bxsterilmeth"],false] AND
 IIF[(IsEntityInWorkflow["wfsixteenstepone"] OR IsEntityInWorkflow["wftensteptwo","wftensteptwoa"])  AND varudipackagedlabeledsterile="Yes" AND (IsNullOrEmpty[varbxsterilmeth] OR (varbxsterilmethcode="NS" OR varbxsterilmethcode="ZZ" OR varbxsterilmethcode="BLANK")),AddAttributeError["_DEFAULT","_DEFAULT","GEN001","Required and 'NS','ZZ','BLANK' are not allowed||","bxsterilmeth"],false] AND 
IIF[(IsEntityInWorkflow["wfsixteenstepone"] OR IsEntityInWorkflow["wftensteptwo","wftensteptwoa"])  AND varudipackagedlabeledsterile="Yes" AND (IsNullOrEmpty[varbxsterilmeth]=false AND (varbxsterilmethcode&lt;&gt;"NS" AND varbxsterilmethcode&lt;&gt;"ZZ" AND varbxsterilmethcode&lt;&gt;"BLANK")),AddAttributeInformation["_DEFAULT","_DEFAULT","SYS001","","bxsterilmeth"],false]</t>
  </si>
  <si>
    <t>Validate Baxter Sterilization Method against Device labelled sterile (SKUTP)</t>
  </si>
  <si>
    <t>BR-UDI-012 - Baxter Sterilization Method: If Device labelled sterile = "No", the only acceptable values for this field is 'NS'. - If Device labelled sterile = "Yes" any value other than 'NS', 'ZZ' and Blank are acceptable. (1-9)</t>
  </si>
  <si>
    <t>udirequiredpdoattributesforxudipdoenrichment</t>
  </si>
  <si>
    <t>Required PDO attributes for XUDI PDO Enrichment 478</t>
  </si>
  <si>
    <t>BR-UDI-131 - Required PDO attributes for XUDI PDO Enrichment 478</t>
  </si>
  <si>
    <t>Required PDO attributes for XUDI PDO Enrichment 465</t>
  </si>
  <si>
    <t>udirequiredpdoattributesforxudipdoenrichmentskutp</t>
  </si>
  <si>
    <t>BR-UDI-126 - Required PDO attributes for XUDI PDO Enrichment 465</t>
  </si>
  <si>
    <t>udibxsterilizationmethod</t>
  </si>
  <si>
    <t>varudipackagedlabeledsterile:=GetAttributeValue["_DEFAULT","_DEFAULT","udipackagedlabeledsterile"];varbxsterilmeth:=GetAttributeValueReferenceId["_DEFAULT","_DEFAULT","bxsterilmeth"];varudieudamedflg:=GetAttributeValue["_DEFAULT","_DEFAULT","udieudamedflg"];varbxsterilmethcode:=GetEntityAttributeValueById["_DEFAULT","_DEFAULT",varbxsterilmeth,"udc59ts","refcode"];IIF[varudipackagedlabeledsterile="No" AND (IsNullOrEmpty[varbxsterilmeth] OR varbxsterilmethcode&lt;&gt;"NS") AND varudieudamedflg = 3,AddAttributeError["_DEFAULT","_DEFAULT","GEN001","Required and only 'NS' is allowed||","bxsterilmeth"],false] AND IIF[varudipackagedlabeledsterile="No" AND (IsNullOrEmpty[varbxsterilmeth]=false AND varbxsterilmethcode="NS") AND varudieudamedflg = 3,AddAttributeInformation["_DEFAULT","_DEFAULT","SYS001","","bxsterilmeth"],false] AND IIF[varudipackagedlabeledsterile="Yes" AND (IsNullOrEmpty[varbxsterilmeth] OR (varbxsterilmethcode="NS" OR varbxsterilmethcode="ZZ" OR varbxsterilmethcode="BLANK")) AND varudieudamedflg = 3,AddAttributeError["_DEFAULT","_DEFAULT","GEN001","Required and 'NS','ZZ','BLANK' are not allowed||","bxsterilmeth"],false] AND IIF[varudipackagedlabeledsterile="Yes" AND (IsNullOrEmpty[varbxsterilmeth]=false AND (varbxsterilmethcode&lt;&gt;"NS" AND varbxsterilmethcode&lt;&gt;"ZZ" AND varbxsterilmethcode&lt;&gt;"BLANK")) AND varudieudamedflg = 3,AddAttributeInformation["_DEFAULT","_DEFAULT","SYS001","","bxsterilmeth"],false]</t>
  </si>
  <si>
    <t>Validate Baxter Sterilization Method against Device labelled sterile</t>
  </si>
  <si>
    <t>BR-UDI-125 - Baxter Sterilization Method: If Device labelled sterile = "No", the only acceptable values for this field is 'NS'. - If Device labelled sterile = "Yes" any value other than 'NS', 'ZZ' and Blank are acceptable. (1-9)</t>
  </si>
  <si>
    <t>admin||xudipdo||mdmadmin||xrc</t>
  </si>
  <si>
    <t>admin||mdmadmin||tpskuinitiator</t>
  </si>
  <si>
    <t>xudipdo||systemadmin||admin||mdmadmin||xrc||xudiprojectmanager</t>
  </si>
  <si>
    <t>udirequiredpdoattributesforxudipdoenrichmentbc</t>
  </si>
  <si>
    <t>udirequiredpdoattributesforxudipdoenrichment||udibxsterilizationmethod||udirequiredpdoattributesforregulatedxudipdoenrichment</t>
  </si>
  <si>
    <t>udiregulateddataBC</t>
  </si>
  <si>
    <t>udimandatoryattributesofpdoudidIdatabydevicetype||udibxsterilizationmethod||udirequiredpdoattributesforregulatedxudipdoenrichment||udivalidtedhfnr</t>
  </si>
  <si>
    <t>PDO - REGULATED DATA (COMMON)</t>
  </si>
  <si>
    <t>udirequiredpdoattributesforxudipdoenrichmentwfsixteensteponeskutpbc</t>
  </si>
  <si>
    <t>udirequiredpdoattributesforxudipdoenrichmentskutp||udibxsterilizationmethodskutp</t>
  </si>
  <si>
    <t>udirequiredpdoattributesforxudipdoenrichmentstep2bc</t>
  </si>
  <si>
    <t>udirequiredpdoattributesforxudipdoenrichment||udibxsterilizationmethod</t>
  </si>
  <si>
    <t>varAttributesList:="udipackagedlabeledsterile||udicontrolbyexpirydate||udicontrolbymanufdate||udisingleusedevice||udicontrolbylotbatchnr||udicontrolbyserialnr||udiqtyofdevice";varudixudiflg:=GetAttributeValue["_DEFAULT","_DEFAULT","udixudiflg"];IIF[varudixudiflg="3",Iterate[varAttributesList,'IIF[ValidateEmptyAttributes["_DEFAULT","_DEFAULT",ITERATIONITEM] OR AttributesHaveErrorsInContext["InvalidVal001",ITERATIONITEM] OR AttributesHaveErrorsInContext["GEN001",ITERATIONITEM],AddAttributeError["_DEFAULT","_DEFAULT","Req001","",ITERATIONITEM],AddAttributeInformation["_DEFAULT","_DEFAULT","SYS001","",ITERATIONITEM]]'],false]</t>
  </si>
  <si>
    <t>varAttributesList:="udipackagedlabeledsterile||udilabelednotmadelatex||udimrisafetystat||udicontrolbyexpirydate||udicontroldonatidnr||udicontrolbymanufdate||udisingleusedevice||udicontrolbylotbatchnr||udicontrolbyserialnr||udiqtyofdevice";varudixudiflg:=GetAttributeValue["_DEFAULT","_DEFAULT","udixudiflg"];IIF[varudixudiflg="3",Iterate[varAttributesList,'IIF[ValidateEmptyAttributes["_DEFAULT","_DEFAULT",ITERATIONITEM] OR AttributesHaveErrorsInContext["InvalidVal001",ITERATIONITEM] OR AttributesHaveErrorsInContext["GEN001",ITERATIONITEM],AddAttributeError["_DEFAULT","_DEFAULT","Req001","",ITERATIONITEM],AddAttributeInformation["_DEFAULT","_DEFAULT","SYS001","",ITERATIONITEM]]'],false]</t>
  </si>
  <si>
    <t>varAttributesList:="udipackagedlabeledsterile||udineedsterilb4use||udilabelednotmadelatex||udimrisafetystat||udicontrolbyexpirydate||udicontroldonatidnr||udicontrolbymanufdate||udisingleusedevice||udicontrolbylotbatchnr||udicontrolbyserialnr||udiqtyofdevice";varudixudiflg:=GetAttributeValue["_DEFAULT","_DEFAULT","udixudiflg"];
IIF[(IsEntityInWorkflow["wfsixteenstepone"] OR IsEntityInWorkflow["wftensteptwo","wftensteptwoa"]) AND varudixudiflg="3",Iterate[varAttributesList,'IIF[ValidateEmptyAttributes["_DEFAULT","_DEFAULT",ITERATIONITEM] OR AttributesHaveErrorsInContext["InvalidVal001",ITERATIONITEM] OR AttributesHaveErrorsInContext["GEN001",ITERATIONITEM],AddAttributeError["_DEFAULT","_DEFAULT","Req001","",ITERATIONITEM],AddAttributeInformation["_DEFAULT","_DEFAULT","SYS001","",ITERATIONITEM]]'],false]</t>
  </si>
  <si>
    <t>udipackagedlabeledsterile||udineedsterilb4use||udilabelednotmadelatex||udimrisafetystat||udicontrolbyexpirydate||udicontroldonatidnr||udicontrolbymanufdate||udisingleusedevice||udicontrolbylotbatchnr||udicontrolbyserialnr||udiqtyofdevice</t>
  </si>
  <si>
    <t>udicontainlatex||udipackagedlabeledsterile||udicatalognr||udiclinicalsize||udicontrolbyserialnr||udiqtyofdevice||udisingleusedevice||udicontrolbymanufdate||udicontrolbyexpirydate||udicontrolbylotbatchnr||udiprimdiissuingag||dhfnr</t>
  </si>
  <si>
    <t>udivalidtedhfnr</t>
  </si>
  <si>
    <t>~RID120-Section 27 - Regulated Data Baxter Internal-DHF Number~ varworkflowstatus:=GetAttributeValue["_DEFAULT","_DEFAULT","udiworkflowstatus"]; vardhfnr:=GetAttributeValue["_DEFAULT","_DEFAULT","dhfnr"]; varexecution:="false"; IIF[(varworkflowstatus="In Progress" OR varworkflowstatus="Maintenance - In Progress"), SetVariable["varexecution","true"] ,false] AND  IIF[ varexecution="true" AND IsNullOrEmpty[vardhfnr] , AddAttributeError["_DEFAULT","_DEFAULT","Req001","Required","dhfnr"], false]</t>
  </si>
  <si>
    <t>Validate DHF Number</t>
  </si>
  <si>
    <t>RID120-Section 27 - Regulated Data Baxter Internal-DHF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</si>
</sst>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9"/>
      <color indexed="81"/>
      <name val="Tahoma"/>
    </font>
    <font>
      <b/>
      <sz val="9"/>
      <color indexed="81"/>
      <name val="Tahoma"/>
    </font>
  </fonts>
  <fills count="8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1" fontId="0" fillId="4" borderId="0" xfId="0" applyNumberFormat="1" applyFill="1"/>
    <xf numFmtId="1" fontId="0" fillId="0" borderId="0" xfId="0" applyNumberFormat="1"/>
    <xf numFmtId="0" fontId="0" fillId="6" borderId="0" xfId="0" applyFill="1"/>
    <xf numFmtId="0" fontId="0" fillId="6" borderId="0" xfId="0" applyFill="1" applyAlignment="1">
      <alignment wrapText="1"/>
    </xf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9765625" defaultRowHeight="15.6"/>
  <cols>
    <col min="4" max="4" width="19.19921875" customWidth="1"/>
    <col min="5" max="5" width="21" customWidth="1"/>
    <col min="6" max="6" width="15.5" customWidth="1"/>
    <col min="9" max="9" width="22.597656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95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96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97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98</v>
      </c>
    </row>
    <row r="5" spans="1:10">
      <c r="E5" s="1" t="s">
        <v>30</v>
      </c>
      <c r="F5" t="s">
        <v>31</v>
      </c>
      <c r="H5" t="s">
        <v>25</v>
      </c>
      <c r="J5" t="s">
        <v>99</v>
      </c>
    </row>
    <row r="6" spans="1:10">
      <c r="J6" t="s">
        <v>100</v>
      </c>
    </row>
    <row r="7" spans="1:10">
      <c r="J7" t="s">
        <v>101</v>
      </c>
    </row>
    <row r="8" spans="1:10">
      <c r="J8" t="s">
        <v>102</v>
      </c>
    </row>
    <row r="9" spans="1:10">
      <c r="J9" t="s">
        <v>103</v>
      </c>
    </row>
    <row r="10" spans="1:10">
      <c r="J10" t="s">
        <v>104</v>
      </c>
    </row>
    <row r="11" spans="1:10">
      <c r="J11" t="s">
        <v>105</v>
      </c>
    </row>
    <row r="12" spans="1:10">
      <c r="J12" t="s">
        <v>106</v>
      </c>
    </row>
    <row r="13" spans="1:10">
      <c r="J13" t="s">
        <v>107</v>
      </c>
    </row>
    <row r="14" spans="1:10">
      <c r="J14" t="s">
        <v>108</v>
      </c>
    </row>
    <row r="15" spans="1:10">
      <c r="J15" t="s">
        <v>109</v>
      </c>
    </row>
    <row r="16" spans="1:10">
      <c r="J16" t="s">
        <v>110</v>
      </c>
    </row>
    <row r="17" spans="10:10">
      <c r="J17" t="s">
        <v>111</v>
      </c>
    </row>
    <row r="18" spans="10:10">
      <c r="J18" t="s">
        <v>112</v>
      </c>
    </row>
    <row r="19" spans="10:10">
      <c r="J19" t="s">
        <v>113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9765625" defaultRowHeight="15.6"/>
  <cols>
    <col min="1" max="1" width="27.1992187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D12" sqref="D12"/>
    </sheetView>
  </sheetViews>
  <sheetFormatPr defaultColWidth="9.59765625" defaultRowHeight="21.75" customHeight="1"/>
  <cols>
    <col min="1" max="2" width="22.5" customWidth="1"/>
    <col min="3" max="3" width="11.8984375" customWidth="1"/>
    <col min="4" max="4" width="12.19921875" customWidth="1"/>
    <col min="5" max="5" width="26.69921875" customWidth="1"/>
    <col min="6" max="6" width="11.898437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114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8"/>
  <sheetViews>
    <sheetView zoomScaleNormal="100" workbookViewId="0">
      <pane ySplit="1" topLeftCell="A6" activePane="bottomLeft" state="frozen"/>
      <selection pane="bottomLeft" activeCell="B11" sqref="B11"/>
    </sheetView>
  </sheetViews>
  <sheetFormatPr defaultColWidth="8.8984375" defaultRowHeight="21.75" customHeight="1"/>
  <cols>
    <col min="1" max="1" width="9.296875" bestFit="1" customWidth="1"/>
    <col min="2" max="2" width="54.09765625" customWidth="1"/>
    <col min="3" max="3" width="24.59765625" bestFit="1" customWidth="1"/>
    <col min="4" max="4" width="18.19921875" customWidth="1"/>
    <col min="5" max="5" width="13.296875" bestFit="1" customWidth="1"/>
    <col min="6" max="6" width="9.19921875" bestFit="1" customWidth="1"/>
    <col min="7" max="7" width="100.69921875" style="15" customWidth="1"/>
    <col min="8" max="8" width="35" style="15" customWidth="1"/>
    <col min="9" max="9" width="22.8984375" style="15" customWidth="1"/>
    <col min="10" max="10" width="24" style="15" bestFit="1" customWidth="1"/>
    <col min="11" max="11" width="24.296875" bestFit="1" customWidth="1"/>
    <col min="12" max="12" width="174.8984375" bestFit="1" customWidth="1"/>
    <col min="13" max="13" width="255.69921875" bestFit="1" customWidth="1"/>
  </cols>
  <sheetData>
    <row r="1" spans="1:13" ht="15.6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</row>
    <row r="2" spans="1:13" ht="93.6">
      <c r="B2" s="28" t="s">
        <v>117</v>
      </c>
      <c r="C2" t="s">
        <v>20</v>
      </c>
      <c r="D2" t="s">
        <v>11</v>
      </c>
      <c r="E2" t="s">
        <v>10</v>
      </c>
      <c r="F2" t="s">
        <v>17</v>
      </c>
      <c r="G2" s="29" t="s">
        <v>149</v>
      </c>
      <c r="H2" s="15" t="s">
        <v>118</v>
      </c>
      <c r="K2" t="s">
        <v>18</v>
      </c>
    </row>
    <row r="3" spans="1:13" ht="409.6">
      <c r="B3" s="30" t="s">
        <v>119</v>
      </c>
      <c r="C3" t="s">
        <v>20</v>
      </c>
      <c r="D3" t="s">
        <v>11</v>
      </c>
      <c r="E3" t="s">
        <v>10</v>
      </c>
      <c r="F3" t="s">
        <v>17</v>
      </c>
      <c r="G3" s="15" t="s">
        <v>120</v>
      </c>
      <c r="H3" s="15" t="s">
        <v>121</v>
      </c>
      <c r="K3" t="s">
        <v>18</v>
      </c>
      <c r="M3" t="s">
        <v>122</v>
      </c>
    </row>
    <row r="4" spans="1:13" ht="405.6">
      <c r="B4" s="30" t="s">
        <v>123</v>
      </c>
      <c r="C4" t="s">
        <v>20</v>
      </c>
      <c r="D4" t="s">
        <v>11</v>
      </c>
      <c r="E4" t="s">
        <v>10</v>
      </c>
      <c r="F4" t="s">
        <v>17</v>
      </c>
      <c r="G4" s="15" t="s">
        <v>124</v>
      </c>
      <c r="H4" s="15" t="s">
        <v>125</v>
      </c>
      <c r="K4" t="s">
        <v>18</v>
      </c>
      <c r="M4" t="s">
        <v>126</v>
      </c>
    </row>
    <row r="5" spans="1:13" ht="109.2">
      <c r="B5" s="28" t="s">
        <v>127</v>
      </c>
      <c r="C5" t="s">
        <v>20</v>
      </c>
      <c r="D5" t="s">
        <v>11</v>
      </c>
      <c r="E5" t="s">
        <v>10</v>
      </c>
      <c r="F5" t="s">
        <v>17</v>
      </c>
      <c r="G5" s="29" t="s">
        <v>150</v>
      </c>
      <c r="H5" s="15" t="s">
        <v>128</v>
      </c>
      <c r="K5" t="s">
        <v>18</v>
      </c>
      <c r="M5" t="s">
        <v>129</v>
      </c>
    </row>
    <row r="6" spans="1:13" ht="140.4">
      <c r="B6" s="28" t="s">
        <v>131</v>
      </c>
      <c r="C6" t="s">
        <v>20</v>
      </c>
      <c r="D6" t="s">
        <v>11</v>
      </c>
      <c r="E6" t="s">
        <v>10</v>
      </c>
      <c r="F6" t="s">
        <v>17</v>
      </c>
      <c r="G6" s="29" t="s">
        <v>151</v>
      </c>
      <c r="H6" s="15" t="s">
        <v>130</v>
      </c>
      <c r="K6" t="s">
        <v>18</v>
      </c>
      <c r="M6" t="s">
        <v>132</v>
      </c>
    </row>
    <row r="7" spans="1:13" ht="249.6">
      <c r="B7" s="30" t="s">
        <v>133</v>
      </c>
      <c r="C7" t="s">
        <v>20</v>
      </c>
      <c r="D7" t="s">
        <v>11</v>
      </c>
      <c r="E7" t="s">
        <v>10</v>
      </c>
      <c r="F7" t="s">
        <v>17</v>
      </c>
      <c r="G7" s="15" t="s">
        <v>134</v>
      </c>
      <c r="H7" s="15" t="s">
        <v>135</v>
      </c>
      <c r="K7" t="s">
        <v>18</v>
      </c>
      <c r="M7" t="s">
        <v>136</v>
      </c>
    </row>
    <row r="8" spans="1:13" ht="21.75" customHeight="1">
      <c r="B8" s="30" t="s">
        <v>154</v>
      </c>
      <c r="C8" t="s">
        <v>20</v>
      </c>
      <c r="D8" t="s">
        <v>11</v>
      </c>
      <c r="E8" t="s">
        <v>10</v>
      </c>
      <c r="F8" t="s">
        <v>17</v>
      </c>
      <c r="G8" s="15" t="s">
        <v>155</v>
      </c>
      <c r="H8" s="15" t="s">
        <v>156</v>
      </c>
      <c r="K8" t="s">
        <v>18</v>
      </c>
      <c r="L8" t="s">
        <v>157</v>
      </c>
    </row>
  </sheetData>
  <autoFilter ref="A1:M7" xr:uid="{00000000-0009-0000-0000-000003000000}"/>
  <dataValidations count="1">
    <dataValidation type="list" allowBlank="1" showInputMessage="1" showErrorMessage="1" sqref="K2:K3 E2:E3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A2:A3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F2:F3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C2:C3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5"/>
  <sheetViews>
    <sheetView zoomScaleNormal="100" workbookViewId="0">
      <pane ySplit="1" topLeftCell="A3" activePane="bottomLeft" state="frozen"/>
      <selection activeCell="L1" sqref="L1"/>
      <selection pane="bottomLeft" activeCell="F5" sqref="F5"/>
    </sheetView>
  </sheetViews>
  <sheetFormatPr defaultColWidth="8.8984375" defaultRowHeight="21.75" customHeight="1"/>
  <cols>
    <col min="1" max="1" width="10.09765625" customWidth="1"/>
    <col min="2" max="2" width="63.09765625" customWidth="1"/>
    <col min="3" max="3" width="18.19921875" customWidth="1"/>
    <col min="4" max="4" width="13.19921875" customWidth="1"/>
    <col min="5" max="5" width="10.69921875" customWidth="1"/>
    <col min="6" max="6" width="47.5" customWidth="1"/>
    <col min="7" max="7" width="37.19921875" customWidth="1"/>
    <col min="8" max="8" width="55" style="15" customWidth="1"/>
    <col min="9" max="9" width="28.59765625" customWidth="1"/>
    <col min="10" max="10" width="28.5" customWidth="1"/>
    <col min="11" max="11" width="38.5" customWidth="1"/>
    <col min="12" max="12" width="50" customWidth="1"/>
    <col min="13" max="13" width="38.19921875" customWidth="1"/>
    <col min="14" max="14" width="22.59765625" customWidth="1"/>
    <col min="15" max="15" width="38.19921875" customWidth="1"/>
    <col min="16" max="16" width="24.3984375" customWidth="1"/>
    <col min="17" max="17" width="18.3984375" customWidth="1"/>
    <col min="18" max="18" width="30.69921875" customWidth="1"/>
    <col min="19" max="19" width="14.69921875" customWidth="1"/>
    <col min="20" max="20" width="27.3984375" customWidth="1"/>
    <col min="21" max="22" width="15" customWidth="1"/>
    <col min="23" max="23" width="21.8984375" customWidth="1"/>
    <col min="24" max="24" width="19.19921875" customWidth="1"/>
    <col min="25" max="25" width="15.59765625" customWidth="1"/>
    <col min="26" max="26" width="20.69921875" customWidth="1"/>
    <col min="27" max="27" width="24.09765625" customWidth="1"/>
    <col min="28" max="28" width="18.69921875" customWidth="1"/>
    <col min="29" max="29" width="23.19921875" customWidth="1"/>
    <col min="30" max="30" width="21.09765625" customWidth="1"/>
    <col min="31" max="31" width="22.8984375" customWidth="1"/>
    <col min="32" max="32" width="33.09765625" customWidth="1"/>
    <col min="33" max="33" width="22.19921875" customWidth="1"/>
    <col min="34" max="34" width="23.1992187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69</v>
      </c>
      <c r="G1" s="12" t="s">
        <v>70</v>
      </c>
      <c r="H1" s="20" t="s">
        <v>71</v>
      </c>
      <c r="I1" s="12" t="s">
        <v>72</v>
      </c>
      <c r="J1" s="21" t="s">
        <v>73</v>
      </c>
      <c r="K1" s="21" t="s">
        <v>74</v>
      </c>
      <c r="L1" s="21" t="s">
        <v>75</v>
      </c>
      <c r="M1" s="22" t="s">
        <v>63</v>
      </c>
      <c r="N1" s="22" t="s">
        <v>8</v>
      </c>
      <c r="O1" s="22" t="s">
        <v>68</v>
      </c>
      <c r="P1" s="22" t="s">
        <v>66</v>
      </c>
    </row>
    <row r="2" spans="1:16" ht="78">
      <c r="B2" s="28" t="s">
        <v>140</v>
      </c>
      <c r="C2" t="s">
        <v>11</v>
      </c>
      <c r="D2" t="s">
        <v>10</v>
      </c>
      <c r="E2" t="s">
        <v>17</v>
      </c>
      <c r="F2" t="s">
        <v>141</v>
      </c>
      <c r="G2" t="s">
        <v>137</v>
      </c>
      <c r="H2" s="29" t="s">
        <v>152</v>
      </c>
      <c r="M2" t="s">
        <v>116</v>
      </c>
      <c r="O2" t="s">
        <v>116</v>
      </c>
      <c r="P2" t="s">
        <v>18</v>
      </c>
    </row>
    <row r="3" spans="1:16" ht="62.4">
      <c r="B3" s="28" t="s">
        <v>142</v>
      </c>
      <c r="C3" t="s">
        <v>11</v>
      </c>
      <c r="D3" t="s">
        <v>10</v>
      </c>
      <c r="E3" t="s">
        <v>17</v>
      </c>
      <c r="F3" t="s">
        <v>143</v>
      </c>
      <c r="G3" t="s">
        <v>139</v>
      </c>
      <c r="H3" s="29" t="s">
        <v>153</v>
      </c>
      <c r="M3" t="s">
        <v>144</v>
      </c>
      <c r="N3" t="s">
        <v>23</v>
      </c>
      <c r="O3" t="s">
        <v>144</v>
      </c>
      <c r="P3" t="s">
        <v>18</v>
      </c>
    </row>
    <row r="4" spans="1:16" ht="78">
      <c r="B4" s="28" t="s">
        <v>145</v>
      </c>
      <c r="C4" t="s">
        <v>11</v>
      </c>
      <c r="D4" t="s">
        <v>10</v>
      </c>
      <c r="E4" t="s">
        <v>17</v>
      </c>
      <c r="F4" t="s">
        <v>146</v>
      </c>
      <c r="G4" t="s">
        <v>138</v>
      </c>
      <c r="H4" s="29" t="s">
        <v>152</v>
      </c>
      <c r="M4" t="s">
        <v>116</v>
      </c>
      <c r="O4" t="s">
        <v>116</v>
      </c>
      <c r="P4" t="s">
        <v>18</v>
      </c>
    </row>
    <row r="5" spans="1:16" ht="78">
      <c r="B5" s="28" t="s">
        <v>147</v>
      </c>
      <c r="C5" t="s">
        <v>11</v>
      </c>
      <c r="D5" t="s">
        <v>10</v>
      </c>
      <c r="E5" t="s">
        <v>17</v>
      </c>
      <c r="F5" t="s">
        <v>148</v>
      </c>
      <c r="G5" t="s">
        <v>137</v>
      </c>
      <c r="H5" s="29" t="s">
        <v>152</v>
      </c>
      <c r="M5" t="s">
        <v>116</v>
      </c>
      <c r="O5" t="s">
        <v>116</v>
      </c>
      <c r="P5" t="s">
        <v>18</v>
      </c>
    </row>
  </sheetData>
  <autoFilter ref="A1:P5" xr:uid="{00000000-0009-0000-0000-000004000000}"/>
  <dataValidations count="1">
    <dataValidation type="list" allowBlank="1" showInputMessage="1" showErrorMessage="1" sqref="D2:D731 P2:P73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C2:C731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E2:E731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A2:A731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K2:K731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L2:L731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N2:N731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984375" defaultRowHeight="21.75" customHeight="1"/>
  <cols>
    <col min="1" max="1" width="10.09765625" customWidth="1"/>
    <col min="2" max="2" width="36.09765625" customWidth="1"/>
    <col min="3" max="3" width="28.19921875" customWidth="1"/>
    <col min="4" max="4" width="54.59765625" customWidth="1"/>
    <col min="5" max="5" width="51.5" customWidth="1"/>
    <col min="6" max="6" width="18.3984375" customWidth="1"/>
    <col min="7" max="7" width="30.69921875" customWidth="1"/>
    <col min="8" max="8" width="14.69921875" customWidth="1"/>
    <col min="9" max="9" width="27.3984375" customWidth="1"/>
    <col min="10" max="11" width="15" customWidth="1"/>
    <col min="12" max="12" width="21.8984375" customWidth="1"/>
    <col min="13" max="13" width="19.19921875" customWidth="1"/>
    <col min="14" max="14" width="15.59765625" customWidth="1"/>
    <col min="15" max="15" width="20.69921875" customWidth="1"/>
    <col min="16" max="16" width="24.09765625" customWidth="1"/>
    <col min="17" max="17" width="18.69921875" customWidth="1"/>
    <col min="18" max="18" width="23.19921875" customWidth="1"/>
    <col min="19" max="19" width="21.09765625" customWidth="1"/>
    <col min="20" max="20" width="22.8984375" customWidth="1"/>
    <col min="21" max="21" width="33.09765625" customWidth="1"/>
    <col min="22" max="22" width="22.19921875" customWidth="1"/>
    <col min="23" max="23" width="23.19921875" customWidth="1"/>
  </cols>
  <sheetData>
    <row r="1" spans="1:5" ht="21.75" customHeight="1">
      <c r="A1" s="2" t="s">
        <v>6</v>
      </c>
      <c r="B1" s="16" t="s">
        <v>59</v>
      </c>
      <c r="C1" s="16" t="s">
        <v>88</v>
      </c>
      <c r="D1" s="22" t="s">
        <v>63</v>
      </c>
      <c r="E1" s="22" t="s">
        <v>68</v>
      </c>
    </row>
  </sheetData>
  <autoFilter ref="A1:E1" xr:uid="{00000000-0009-0000-0000-000004000000}"/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1"/>
  <sheetViews>
    <sheetView tabSelected="1" zoomScaleNormal="100" workbookViewId="0">
      <pane ySplit="1" topLeftCell="A2" activePane="bottomLeft" state="frozen"/>
      <selection pane="bottomLeft" activeCell="F12" sqref="F12"/>
    </sheetView>
  </sheetViews>
  <sheetFormatPr defaultColWidth="9.3984375" defaultRowHeight="21.75" customHeight="1"/>
  <cols>
    <col min="1" max="1" width="10.59765625" customWidth="1"/>
    <col min="2" max="2" width="22.5" customWidth="1"/>
    <col min="3" max="3" width="19.69921875" customWidth="1"/>
    <col min="4" max="4" width="13.69921875" customWidth="1"/>
    <col min="5" max="5" width="10.69921875" customWidth="1"/>
    <col min="6" max="6" width="113.09765625" customWidth="1"/>
    <col min="7" max="7" width="84.59765625" customWidth="1"/>
    <col min="8" max="8" width="20.5" customWidth="1"/>
    <col min="9" max="9" width="66.59765625" customWidth="1"/>
    <col min="10" max="10" width="20.5" customWidth="1"/>
    <col min="11" max="11" width="30" customWidth="1"/>
    <col min="12" max="12" width="32" style="27" bestFit="1" customWidth="1"/>
    <col min="13" max="13" width="11.8984375" customWidth="1"/>
  </cols>
  <sheetData>
    <row r="1" spans="1:13" ht="21.75" customHeight="1">
      <c r="A1" s="2" t="s">
        <v>6</v>
      </c>
      <c r="B1" s="16" t="s">
        <v>76</v>
      </c>
      <c r="C1" s="17" t="s">
        <v>60</v>
      </c>
      <c r="D1" s="17" t="s">
        <v>61</v>
      </c>
      <c r="E1" s="17" t="s">
        <v>0</v>
      </c>
      <c r="F1" s="17" t="s">
        <v>77</v>
      </c>
      <c r="G1" s="17" t="s">
        <v>78</v>
      </c>
      <c r="H1" s="23" t="s">
        <v>79</v>
      </c>
      <c r="I1" s="17" t="s">
        <v>80</v>
      </c>
      <c r="J1" s="17" t="s">
        <v>81</v>
      </c>
      <c r="K1" s="17" t="s">
        <v>82</v>
      </c>
      <c r="L1" s="26" t="s">
        <v>115</v>
      </c>
      <c r="M1" s="22" t="s">
        <v>68</v>
      </c>
    </row>
  </sheetData>
  <autoFilter ref="A1:M1" xr:uid="{00000000-0009-0000-0000-000005000000}"/>
  <pageMargins left="0.7" right="0.7" top="0.75" bottom="0.75" header="0.51180555555555496" footer="0.51180555555555496"/>
  <pageSetup paperSize="9" firstPageNumber="0" orientation="portrait" horizontalDpi="300" verticalDpi="30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B2" sqref="B2"/>
    </sheetView>
  </sheetViews>
  <sheetFormatPr defaultColWidth="9.19921875" defaultRowHeight="21.75" customHeight="1"/>
  <cols>
    <col min="1" max="1" width="12.69921875" customWidth="1"/>
    <col min="2" max="2" width="46" customWidth="1"/>
    <col min="3" max="3" width="40.09765625" customWidth="1"/>
    <col min="4" max="5" width="36.3984375" customWidth="1"/>
    <col min="6" max="6" width="27.3984375" customWidth="1"/>
    <col min="7" max="7" width="34.5" customWidth="1"/>
    <col min="8" max="8" width="41.69921875" customWidth="1"/>
    <col min="9" max="9" width="34" customWidth="1"/>
    <col min="10" max="10" width="11.8984375" customWidth="1"/>
  </cols>
  <sheetData>
    <row r="1" spans="1:10" ht="21.75" customHeight="1">
      <c r="A1" s="2" t="s">
        <v>6</v>
      </c>
      <c r="B1" s="16" t="s">
        <v>59</v>
      </c>
      <c r="C1" s="23" t="s">
        <v>83</v>
      </c>
      <c r="D1" s="23" t="s">
        <v>83</v>
      </c>
      <c r="E1" s="23" t="s">
        <v>83</v>
      </c>
      <c r="F1" s="23" t="s">
        <v>84</v>
      </c>
      <c r="G1" s="23" t="s">
        <v>85</v>
      </c>
      <c r="H1" s="23" t="s">
        <v>86</v>
      </c>
      <c r="I1" s="23" t="s">
        <v>87</v>
      </c>
      <c r="J1" s="22" t="s">
        <v>68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19921875" defaultRowHeight="21.75" customHeight="1"/>
  <cols>
    <col min="1" max="1" width="12.59765625" customWidth="1"/>
    <col min="2" max="2" width="28.19921875" customWidth="1"/>
    <col min="3" max="3" width="11.8984375" customWidth="1"/>
    <col min="4" max="9" width="31.69921875" customWidth="1"/>
    <col min="10" max="10" width="17.09765625" customWidth="1"/>
  </cols>
  <sheetData>
    <row r="1" spans="1:10" ht="21.75" customHeight="1">
      <c r="A1" s="2" t="s">
        <v>6</v>
      </c>
      <c r="B1" s="16" t="s">
        <v>59</v>
      </c>
      <c r="C1" s="16" t="s">
        <v>89</v>
      </c>
      <c r="D1" s="24" t="s">
        <v>83</v>
      </c>
      <c r="E1" s="24" t="s">
        <v>83</v>
      </c>
      <c r="F1" s="24" t="s">
        <v>83</v>
      </c>
      <c r="G1" s="24" t="s">
        <v>83</v>
      </c>
      <c r="H1" s="24" t="s">
        <v>83</v>
      </c>
      <c r="I1" s="24" t="s">
        <v>83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19921875" defaultRowHeight="21.75" customHeight="1"/>
  <cols>
    <col min="1" max="1" width="10.59765625" customWidth="1"/>
    <col min="2" max="2" width="20.3984375" customWidth="1"/>
    <col min="3" max="3" width="16" customWidth="1"/>
    <col min="4" max="4" width="28.59765625" customWidth="1"/>
    <col min="5" max="5" width="40.3984375" customWidth="1"/>
    <col min="6" max="6" width="47.69921875" customWidth="1"/>
    <col min="7" max="7" width="26.59765625" customWidth="1"/>
    <col min="8" max="8" width="27.19921875" customWidth="1"/>
    <col min="9" max="9" width="39.8984375" customWidth="1"/>
    <col min="10" max="10" width="42.59765625" customWidth="1"/>
    <col min="11" max="11" width="43.3984375" customWidth="1"/>
  </cols>
  <sheetData>
    <row r="1" spans="1:11" ht="21.75" customHeight="1">
      <c r="A1" s="2" t="s">
        <v>6</v>
      </c>
      <c r="B1" s="16" t="s">
        <v>59</v>
      </c>
      <c r="C1" s="16" t="s">
        <v>89</v>
      </c>
      <c r="D1" s="25" t="s">
        <v>63</v>
      </c>
      <c r="E1" s="25" t="s">
        <v>33</v>
      </c>
      <c r="F1" s="25" t="s">
        <v>62</v>
      </c>
      <c r="G1" s="25" t="s">
        <v>90</v>
      </c>
      <c r="H1" s="25" t="s">
        <v>91</v>
      </c>
      <c r="I1" s="25" t="s">
        <v>92</v>
      </c>
      <c r="J1" s="25" t="s">
        <v>93</v>
      </c>
      <c r="K1" s="25" t="s">
        <v>94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26</vt:i4>
      </vt:variant>
    </vt:vector>
  </HeadingPairs>
  <TitlesOfParts>
    <vt:vector size="36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Goud, Pompana</cp:lastModifiedBy>
  <cp:revision>12</cp:revision>
  <dcterms:created xsi:type="dcterms:W3CDTF">2017-02-20T03:25:01Z</dcterms:created>
  <dcterms:modified xsi:type="dcterms:W3CDTF">2025-01-13T04:53:04Z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