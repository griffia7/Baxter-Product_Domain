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11\QA\Upload\Enhancement 300\"/>
    </mc:Choice>
  </mc:AlternateContent>
  <xr:revisionPtr revIDLastSave="0" documentId="13_ncr:1_{F7722BD6-4E78-46C4-BEDD-2065754C67C6}" xr6:coauthVersionLast="47" xr6:coauthVersionMax="47" xr10:uidLastSave="{00000000-0000-0000-0000-000000000000}"/>
  <bookViews>
    <workbookView xWindow="-108" yWindow="-108" windowWidth="23256" windowHeight="12720" tabRatio="684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CONDITIONS'!$A$1:$AH$73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<sst xmlns="http://schemas.openxmlformats.org/spreadsheetml/2006/main" count="339" uniqueCount="119">
  <si>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</si>
  <si>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</si>
  <si>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</si>
  <si>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</si>
  <si>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</si>
  <si>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</si>
  <si>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</si>
  <si>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</si>
  <si>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</si>
  <si>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</si>
  <si>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</si>
  <si>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</si>
  <si>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</si>
  <si>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</si>
  <si>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</si>
  <si>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</si>
  <si>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</si>
  <si>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</si>
  <si>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</si>
  <si>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</si>
  <si>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</si>
  <si>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</si>
  <si>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</si>
  <si>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</si>
  <si>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</si>
  <si>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</si>
  <si>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</si>
  <si>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</si>
  <si>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</si>
  <si>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</si>
  <si>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</si>
  <si>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</si>
  <si>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</si>
  <si>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</si>
  <si>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</si>
  <si>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</si>
  <si>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</si>
  <si>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</si>
  <si>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</si>
  <si>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</si>
  <si>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</si>
  <si>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</si>
  <si>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</si>
  <si>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</si>
  <si>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</si>
  <si>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</si>
  <si>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</si>
  <si>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</si>
  <si>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</si>
  <si>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</si>
  <si>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</si>
  <si>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</si>
  <si>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</si>
  <si>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</si>
  <si>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</si>
  <si>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</si>
  <si>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</si>
  <si>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</si>
  <si>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</si>
  <si>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</si>
  <si>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</si>
  <si>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</si>
  <si>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</si>
  <si>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</si>
  <si>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</si>
  <si>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</si>
  <si>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</si>
  <si>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</si>
  <si>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</si>
  <si>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</si>
  <si>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</si>
  <si>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</si>
  <si>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</si>
  <si>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</si>
  <si>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</si>
  <si>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</si>
  <si>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</si>
  <si>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</si>
  <si>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</si>
  <si>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</si>
  <si>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</si>
  <si>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</si>
  <si>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</si>
  <si>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</si>
  <si>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</si>
  <si>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</si>
  <si>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</si>
  <si>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</si>
  <si>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</si>
  <si>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</si>
  <si>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</si>
  <si>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</si>
  <si>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</si>
  <si>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</si>
  <si>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</si>
  <si>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</si>
  <si>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</si>
  <si>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udipopulatecemarkedflag</t>
  </si>
  <si>
    <t>varchildattribute:="";varentityids:="";varflagrequired:="false";varbreakloop:="";varcatType:=""; varcemkflg:="";varnestedvalues:="";varnestedvaluelist:="";varcontinueexec:=HaveAnyAttributesChanged["_DEFAULT","_DEFAULT","drugmdothflg","targetmkts"];varentiyattributevalue:=""; IIF[varcontinueexec,SetVariable["varcatType",GetAttributeValue["_DEFAULT","_DEFAULT","drugmdothflg"]] AND SetVariable["varcemkflg",GetAttributeValue["_DEFAULT","_DEFAULT","cemkflg"]] AND SetVariable["varnestedvalues",GetNestedAttributeRows["_DEFAULT","_DEFAULT","self:self","targetmkts",""]] AND SetVariable["varnestedvaluelist",Split[varnestedvalues,"@@"]],false] AND IIF[varcontinueexec AND IsNullOrEmpty[varnestedvaluelist]=false, ITERATE[varnestedvaluelist,'( SetVariable["varchildattribute",Getchildattributefromnestedrowstring[ITERATIONITEM,"targetmkt"]] AND IIF[IsNullOrEmpty[varchildattribute]=false, SetVariable["varentityids",GetEntityId["ANDACROSS","udc00cn","self:self",Concat["refvalue:_DEFAULT:_DEFAULT:exact:",varchildattribute]]],false] AND IIF[IsNullOrEmpty[varentityids]=false, SetVariable["varentiyattributevalue", GetEntityAttributeValueById["_DEFAULT","_DEFAULT",varentityids,"udc00cn","refcemarked"]],false] AND IIF[ IsNullOrEmpty[varentiyattributevalue]=false AND varentiyattributevalue="Y", SetVariable["varflagrequired","true"] AND SetVariable["varbreakloop","true"] ,false] )',varbreakloop], false] AND IIF[varcontinueexec AND varflagrequired="true" And (varcatType="Biologic (Device)" OR varcatType="Active Device (instrument/Hardware)" OR varcatType="Passive Device (disposable)"),SetAttributeValue["_DEFAULT","_DEFAULT","cemkflg","Yes"] AND SetAttributeValue["_DEFAULT","_DEFAULT","udieudamedflg","3"],false] AND IIF[varcontinueexec AND(varcatType&lt;&gt;"Biologic (Device)" AND varcatType&lt;&gt;"Active Device (instrument/Hardware)" AND varcatType&lt;&gt;"Passive Device (disposable)"),SetAttributeValue["_DEFAULT","_DEFAULT","cemkflg","No"],false]</t>
  </si>
  <si>
    <t>Populate cE Marked Flag</t>
  </si>
  <si>
    <t>BR44:IF product categorization is Biologic (Device) AND (UDC00CN 'valuemap' attribute = 'EU' WHERE Target Market = UDC00CN value) THEN CE Marked Flag = 'Y' Else 'N'Can be overwritten</t>
  </si>
  <si>
    <t>populatecemarkedflag</t>
  </si>
  <si>
    <t>create||update</t>
  </si>
  <si>
    <t>skutp</t>
  </si>
  <si>
    <t>compoundingcode</t>
  </si>
  <si>
    <t>sparepart</t>
  </si>
  <si>
    <t>rawmaterial</t>
  </si>
  <si>
    <t>mro</t>
  </si>
  <si>
    <t>sku</t>
  </si>
  <si>
    <t>service</t>
  </si>
  <si>
    <t>hrc</t>
  </si>
  <si>
    <t>udipopulateeudamedflag</t>
  </si>
  <si>
    <t>Populate Eudamed Flag</t>
  </si>
  <si>
    <t>IF product categorization is Biologic (Device) Active OR Device (instrument/Hardware) OR Passive Device (disposable) AND (UDC00CN 'valuemap' attribute = 'EU' WHERE Target Market = UDC00CN value) THEN EUDAMED Flag Flag = '3'</t>
  </si>
  <si>
    <t>varchildattribute:="";
varentityids:="";
varflagrequired:="false";
varbreakloop:="";
varcatType:= GetAttributeValue["_DEFAULT","_DEFAULT","drugmdothflg"];
varnestedvalues:="";
varnestedvaluelist:="";
varentiyattributevalue:=""; varcontinueexec:=HaveAnyAttributesChanged["_DEFAULT","_DEFAULT","drugmdothflg","targetmkts"];
IIF[varcontinueexec, SetVariable["varnestedvalues",GetNestedAttributeRows["_DEFAULT","_DEFAULT","self:self","targetmkts",""]] AND SetVariable["varnestedvaluelist",Split[varnestedvalues,"@@"]],false] AND IIF[varcontinueexec AND IsNullOrEmpty[varnestedvaluelist]=false, ITERATE[varnestedvaluelist,'( SetVariable["varchildattribute",Getchildattributefromnestedrowstring[ITERATIONITEM,"targetmkt"]] AND IIF[IsNullOrEmpty[varchildattribute]=false, SetVariable["varentityids",GetEntityId["ANDACROSS","udc00cn","self:self",Concat["refvalue:_DEFAULT:_DEFAULT:exact:",varchildattribute]]],false] AND IIF[IsNullOrEmpty[varentityids]=false, SetVariable["varentiyattributevalue", GetEntityAttributeValueById["_DEFAULT","_DEFAULT",varentityids,"udc00cn","refvaluemap"]],false] AND IIF[ IsNullOrEmpty[varentiyattributevalue]=false AND varentiyattributevalue="EU", SetVariable["varflagrequired","true"] AND SetVariable["varbreakloop","true"] ,false] )',varbreakloop], false] AND IIF[varcontinueexec AND varflagrequired="true" And (varcatType="Biologic (Device)" OR varcatType="Active Device (instrument/Hardware)" OR varcatType="Passive Device (disposable)"), SetAttributeValue["_DEFAULT","_DEFAULT","udieudamedflg","3"],false]</t>
  </si>
  <si>
    <t>populatecemarkedflagonskutp</t>
  </si>
  <si>
    <t>varchildattribute:="";varentityids:="";varflagrequired:="false";varbreakloop:="";varcatType:=""; varcemkflg:="";varnestedvalues:="";varnestedvaluelist:="";varentitytype:= GetEntityType[];varcontinueexec:=HaveAnyAttributesChanged["_DEFAULT","_DEFAULT","drugmdothflg","targetmkts"];varentiyattributevalue:="";IIF[varcontinueexec,SetVariable["varcatType",GetAttributeValue["_DEFAULT","_DEFAULT","drugmdothflg"]] AND SetVariable["varcemkflg",GetAttributeValue["_DEFAULT","_DEFAULT","cemkflg"]] AND SetVariable["varnestedvalues",GetNestedAttributeRows["_DEFAULT","_DEFAULT","self:self","targetmkts",""]] AND SetVariable["varnestedvaluelist",Split[varnestedvalues,"@@"]],false] AND IIF[varcontinueexec AND IsNullOrEmpty[varnestedvaluelist]=false, ITERATE[varnestedvaluelist,'( SetVariable["varchildattribute",Getchildattributefromnestedrowstring[ITERATIONITEM,"targetmkt"]] AND IIF[IsNullOrEmpty[varchildattribute]=false, SetVariable["varentityids",GetEntityId["ANDACROSS","udc00cn","self:self",Concat["refvalue:_DEFAULT:_DEFAULT:exact:",varchildattribute]]],false] AND IIF[IsNullOrEmpty[varentityids]=false, SetVariable["varentiyattributevalue", GetEntityAttributeValueById["_DEFAULT","_DEFAULT",varentityids,"udc00cn","refcemarked"]],false] AND IIF[ IsNullOrEmpty[varentiyattributevalue]=false AND varentiyattributevalue="Y", SetVariable["varflagrequired","true"] AND SetVariable["varbreakloop","true"] ,false] )',varbreakloop], false] AND IIF[varcontinueexec AND (varentitytype = "skutp" OR varentitytype = "compoundingcode") AND varflagrequired="true" And (varcatType="Biologic (Device)" OR varcatType="Active Device (instrument/Hardware)" OR varcatType="Passive Device (disposable)"),SetAttributeValue["_DEFAULT","_DEFAULT","cemkflg","Yes"] ,false] ANDIIF[varcontinueexec AND (varentitytype = "rawmaterial" OR varentitytype = "sparepart"),SetAttributeValue["_DEFAULT","_DEFAULT","cemkflg","Yes"] ,false] AND IIF[ varcontinueexec AND varflagrequired="false",SetAttributeValue["_DEFAULT","_DEFAULT","cemkflg","No"],false]</t>
  </si>
  <si>
    <t>vartargetmkt:="";varcountryids:="";varflagrequired:="false";varbreakloop:="";varcatType:= GetAttributeValue["_DEFAULT","_DEFAULT","drugmdothflg"];varcemkflg:= GetAttributeValue["_DEFAULT","_DEFAULT","cemkflg"];vartargetmkts:= GetNestedAttributeRows["_DEFAULT","_DEFAULT","self:self","targetmkts",""];vartargetmktlist:="";varcontinueexec:=HaveAnyAttributesChanged["_DEFAULT","_DEFAULT","drugmdothflg","targetmkts"];varcemktcountryflag:="";IIF[varcontinueexec,SetVariable["vartargetmktlist",Split[vartargetmkts,"@@"]],false]AND IIF[varcontinueexec AND IsNullOrEmpty[vartargetmktlist]=false,ITERATE[vartargetmktlist,'(SetVariable["vartargetmkt",Getchildattributefromnestedrowstring[ITERATIONITEM,"targetmkt"]] AND IIF[IsNullOrEmpty[vartargetmkt]=false,SetVariable["varcountryids",GetEntityId["ANDACROSS","udc00cn","self:self",Concat["refvalue:_DEFAULT:_DEFAULT:exact:",vartargetmkt]]],false] AND IIF[IsNullOrEmpty[varcountryids]=false,SetVariable["varcemktcountryflag",GetEntityAttributeValueById["_DEFAULT","_DEFAULT",varcountryids,"udc00cn","refcemarked"]],false] AND IIF[ IsNullOrEmpty[varcemktcountryflag]=false AND varcemktcountryflag="Y",SetVariable["varflagrequired","true"] AND SetVariable["varbreakloop","true"] ,false] )',varbreakloop], false]AND IIF[varcontinueexec AND varflagrequired="true" And (varcatType="Biologic (Device)" OR varcatType="Active Device (instrument/Hardware)" OR varcatType="Passive Device (disposable)") AND IsNullOrEmpty[varcemkflg],SetAttributeValue["_DEFAULT","_DEFAULT","cemkflg","Yes"],false] AND IIF[varcontinueexec AND varflagrequired="true" AND varcatType&lt;&gt;"Biologic (Device)" AND varcatType&lt;&gt;"Active Device (instrument/Hardware)" AND varcatType&lt;&gt;"Passive Device (disposable)" AND IsNullOrEmpty[varcemkflg],SetAttributeValue["_DEFAULT","_DEFAULT","cemkflg","No"],false] AND IIF[varcontinueexec AND varflagrequired="true" AND IsNullOrEmpty[varcatType] AND IsNullOrEmpty[varcemkflg],SetAttributeValue["_DEFAULT","_DEFAULT","cemkflg","No"],false]</t>
  </si>
  <si>
    <t>spareparts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</si>
</sst>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zoomScaleNormal="100" workbookViewId="0">
      <pane ySplit="1" topLeftCell="A9" activePane="bottomLeft" state="frozen"/>
      <selection activeCell="I1" sqref="I1"/>
      <selection pane="bottomLeft" activeCell="A3" sqref="A3"/>
    </sheetView>
  </sheetViews>
  <sheetFormatPr defaultRowHeight="22.5" customHeight="1"/>
  <cols>
    <col min="1" max="1" width="9.296875" bestFit="1" customWidth="1"/>
    <col min="2" max="2" width="26.796875" bestFit="1" customWidth="1"/>
    <col min="3" max="3" width="11.69921875" bestFit="1" customWidth="1"/>
    <col min="4" max="4" width="18.19921875" bestFit="1" customWidth="1"/>
    <col min="5" max="5" width="13.296875" bestFit="1" customWidth="1"/>
    <col min="6" max="6" width="9.19921875" bestFit="1" customWidth="1"/>
    <col min="7" max="7" width="255.69921875" style="14" bestFit="1" customWidth="1"/>
    <col min="8" max="8" width="161.09765625" style="14" bestFit="1" customWidth="1"/>
    <col min="9" max="9" width="21" style="14" bestFit="1" customWidth="1"/>
    <col min="10" max="10" width="23.69921875" style="14" bestFit="1" customWidth="1"/>
    <col min="11" max="11" width="24.296875" bestFit="1" customWidth="1"/>
    <col min="12" max="12" width="198.5" style="14" bestFit="1" customWidth="1"/>
    <col min="13" max="14" width="161.09765625" bestFit="1" customWidth="1"/>
    <col min="15" max="1027" width="8.8984375"/>
  </cols>
  <sheetData>
    <row r="1" spans="1:14" ht="15.6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6.2" customHeight="1">
      <c r="A2" s="26" t="s">
        <v>84</v>
      </c>
      <c r="B2" s="26" t="s">
        <v>97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6" t="s">
        <v>100</v>
      </c>
    </row>
    <row r="3" spans="1:14" s="26" customFormat="1" ht="409.6">
      <c r="B3" s="26" t="s">
        <v>101</v>
      </c>
      <c r="C3" s="26" t="s">
        <v>80</v>
      </c>
      <c r="D3" s="26" t="s">
        <v>73</v>
      </c>
      <c r="E3" s="26" t="s">
        <v>6</v>
      </c>
      <c r="F3" s="26" t="s">
        <v>7</v>
      </c>
      <c r="G3" s="27" t="s">
        <v>117</v>
      </c>
      <c r="H3" s="26" t="s">
        <v>100</v>
      </c>
      <c r="I3" s="27"/>
      <c r="J3" s="27"/>
      <c r="K3" s="26" t="s">
        <v>8</v>
      </c>
      <c r="L3" s="26" t="s">
        <v>100</v>
      </c>
      <c r="M3" s="26" t="s">
        <v>100</v>
      </c>
      <c r="N3" s="26" t="s">
        <v>100</v>
      </c>
    </row>
    <row r="4" spans="1:14" s="26" customFormat="1" ht="409.6">
      <c r="B4" s="26" t="s">
        <v>111</v>
      </c>
      <c r="C4" s="26" t="s">
        <v>80</v>
      </c>
      <c r="D4" s="26" t="s">
        <v>73</v>
      </c>
      <c r="E4" s="26" t="s">
        <v>6</v>
      </c>
      <c r="F4" s="26" t="s">
        <v>7</v>
      </c>
      <c r="G4" s="27" t="s">
        <v>114</v>
      </c>
      <c r="H4" s="26" t="s">
        <v>112</v>
      </c>
      <c r="I4" s="27"/>
      <c r="J4" s="27"/>
      <c r="K4" s="26" t="s">
        <v>8</v>
      </c>
      <c r="L4" s="26" t="s">
        <v>113</v>
      </c>
    </row>
    <row r="5" spans="1:14" ht="15.6">
      <c r="A5" t="s">
        <v>84</v>
      </c>
      <c r="B5" t="s">
        <v>115</v>
      </c>
      <c r="C5" t="s">
        <v>80</v>
      </c>
      <c r="D5" t="s">
        <v>73</v>
      </c>
      <c r="E5" t="s">
        <v>6</v>
      </c>
      <c r="F5" t="s">
        <v>7</v>
      </c>
      <c r="G5" t="s">
        <v>116</v>
      </c>
      <c r="H5" t="s">
        <v>100</v>
      </c>
      <c r="K5" t="s">
        <v>8</v>
      </c>
      <c r="L5" t="s">
        <v>100</v>
      </c>
      <c r="M5" t="s">
        <v>100</v>
      </c>
    </row>
  </sheetData>
  <autoFilter ref="A1:N4" xr:uid="{00000000-0001-0000-0300-000000000000}"/>
  <dataValidations count="2">
    <dataValidation type="list" allowBlank="1" showInputMessage="1" showErrorMessage="1" sqref="E6:E1048576 E2:E4 K2:K4 K6:K1048576" xr:uid="{00000000-0002-0000-0300-000000000000}">
      <formula1>_BOOLEAN</formula1>
    </dataValidation>
    <dataValidation type="list" allowBlank="1" showInputMessage="1" showErrorMessage="1" sqref="E5 K5" xr:uid="{C7BFE812-F998-4E59-A240-CD528DB12663}">
      <formula1>_BOOLEAN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F2:F4 F6:F1048576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C2:C4 C6:C1048576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D2:D4 D6:D1048576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A2:A4 A6:A1048576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:XFD275"/>
    </sheetView>
  </sheetViews>
  <sheetFormatPr defaultRowHeight="21.75" customHeight="1"/>
  <cols>
    <col min="1" max="1" width="10.09765625" customWidth="1"/>
    <col min="2" max="2" width="28.19921875" customWidth="1"/>
    <col min="3" max="3" width="18.19921875" bestFit="1" customWidth="1"/>
    <col min="4" max="4" width="13.19921875" bestFit="1" customWidth="1"/>
    <col min="5" max="5" width="10.69921875"/>
    <col min="6" max="6" width="47.5"/>
    <col min="7" max="7" width="37.19921875"/>
    <col min="8" max="8" width="55" style="14" customWidth="1"/>
    <col min="9" max="9" width="28.59765625"/>
    <col min="10" max="10" width="28.5" customWidth="1"/>
    <col min="11" max="11" width="38.5" bestFit="1" customWidth="1"/>
    <col min="12" max="12" width="50" bestFit="1" customWidth="1"/>
    <col min="13" max="14" width="38.19921875"/>
    <col min="15" max="15" width="24.3984375"/>
    <col min="16" max="16" width="18.3984375"/>
    <col min="17" max="17" width="30.69921875"/>
    <col min="18" max="18" width="14.69921875"/>
    <col min="19" max="19" width="27.3984375"/>
    <col min="20" max="21" width="15"/>
    <col min="22" max="22" width="21.8984375"/>
    <col min="23" max="23" width="19.19921875"/>
    <col min="24" max="24" width="15.59765625"/>
    <col min="25" max="25" width="20.69921875"/>
    <col min="26" max="26" width="24.09765625"/>
    <col min="27" max="27" width="18.69921875"/>
    <col min="28" max="28" width="23.19921875"/>
    <col min="29" max="29" width="21.09765625"/>
    <col min="30" max="30" width="22.8984375"/>
    <col min="31" max="31" width="33.09765625"/>
    <col min="32" max="32" width="22.19921875"/>
    <col min="33" max="33" width="23.19921875"/>
    <col min="34" max="1028" width="8.898437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1"/>
  <sheetViews>
    <sheetView tabSelected="1" zoomScaleNormal="100" workbookViewId="0">
      <pane ySplit="1" topLeftCell="A5" activePane="bottomLeft" state="frozen"/>
      <selection pane="bottomLeft" activeCell="B13" sqref="A1:L21"/>
    </sheetView>
  </sheetViews>
  <sheetFormatPr defaultRowHeight="21.75" customHeight="1"/>
  <cols>
    <col min="1" max="1" width="9.296875" bestFit="1" customWidth="1"/>
    <col min="2" max="2" width="16.5" bestFit="1" customWidth="1"/>
    <col min="3" max="3" width="18.19921875" bestFit="1" customWidth="1"/>
    <col min="4" max="4" width="13.296875" bestFit="1" customWidth="1"/>
    <col min="5" max="5" width="9.19921875" bestFit="1" customWidth="1"/>
    <col min="6" max="6" width="26.796875" bestFit="1" customWidth="1"/>
    <col min="7" max="7" width="28.796875" bestFit="1" customWidth="1"/>
    <col min="8" max="8" width="19.8984375" bestFit="1" customWidth="1"/>
    <col min="9" max="9" width="14.3984375" bestFit="1" customWidth="1"/>
    <col min="10" max="10" width="18.69921875" bestFit="1" customWidth="1"/>
    <col min="11" max="11" width="26.3984375" bestFit="1" customWidth="1"/>
    <col min="12" max="12" width="11.3984375" bestFit="1" customWidth="1"/>
    <col min="13" max="1025" width="9.3984375"/>
  </cols>
  <sheetData>
    <row r="1" spans="1:12" ht="15.6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6">
      <c r="B2" s="26" t="s">
        <v>103</v>
      </c>
      <c r="C2" s="26" t="s">
        <v>73</v>
      </c>
      <c r="D2" s="26" t="s">
        <v>6</v>
      </c>
      <c r="E2" s="26" t="s">
        <v>7</v>
      </c>
      <c r="F2" s="26" t="s">
        <v>101</v>
      </c>
      <c r="H2" s="26" t="s">
        <v>102</v>
      </c>
      <c r="J2" s="26">
        <v>87</v>
      </c>
      <c r="K2" s="26" t="s">
        <v>6</v>
      </c>
    </row>
    <row r="3" spans="1:12" s="26" customFormat="1" ht="15.6">
      <c r="B3" s="26" t="s">
        <v>104</v>
      </c>
      <c r="C3" s="26" t="s">
        <v>73</v>
      </c>
      <c r="D3" s="26" t="s">
        <v>6</v>
      </c>
      <c r="E3" s="26" t="s">
        <v>7</v>
      </c>
      <c r="F3" s="26" t="s">
        <v>101</v>
      </c>
      <c r="H3" s="26" t="s">
        <v>102</v>
      </c>
      <c r="J3" s="26">
        <v>87</v>
      </c>
      <c r="K3" s="26" t="s">
        <v>6</v>
      </c>
    </row>
    <row r="4" spans="1:12" s="26" customFormat="1" ht="15.6">
      <c r="B4" s="26" t="s">
        <v>105</v>
      </c>
      <c r="C4" s="26" t="s">
        <v>73</v>
      </c>
      <c r="D4" s="26" t="s">
        <v>6</v>
      </c>
      <c r="E4" s="26" t="s">
        <v>7</v>
      </c>
      <c r="F4" s="26" t="s">
        <v>101</v>
      </c>
      <c r="H4" s="26" t="s">
        <v>102</v>
      </c>
      <c r="J4" s="26">
        <v>87</v>
      </c>
      <c r="K4" s="26" t="s">
        <v>6</v>
      </c>
    </row>
    <row r="5" spans="1:12" s="26" customFormat="1" ht="15.6">
      <c r="B5" s="26" t="s">
        <v>106</v>
      </c>
      <c r="C5" s="26" t="s">
        <v>73</v>
      </c>
      <c r="D5" s="26" t="s">
        <v>6</v>
      </c>
      <c r="E5" s="26" t="s">
        <v>7</v>
      </c>
      <c r="F5" s="26" t="s">
        <v>101</v>
      </c>
      <c r="H5" s="26" t="s">
        <v>102</v>
      </c>
      <c r="J5" s="26">
        <v>87</v>
      </c>
      <c r="K5" s="26" t="s">
        <v>6</v>
      </c>
    </row>
    <row r="6" spans="1:12" s="26" customFormat="1" ht="15.6">
      <c r="A6" s="26" t="s">
        <v>84</v>
      </c>
      <c r="B6" s="26" t="s">
        <v>107</v>
      </c>
      <c r="C6" s="26" t="s">
        <v>73</v>
      </c>
      <c r="D6" s="26" t="s">
        <v>6</v>
      </c>
      <c r="E6" s="26" t="s">
        <v>7</v>
      </c>
      <c r="F6" s="26" t="s">
        <v>97</v>
      </c>
      <c r="H6" s="26" t="s">
        <v>102</v>
      </c>
      <c r="J6" s="26">
        <v>287</v>
      </c>
      <c r="K6" s="26" t="s">
        <v>6</v>
      </c>
    </row>
    <row r="7" spans="1:12" s="26" customFormat="1" ht="15.6">
      <c r="A7" s="26" t="s">
        <v>84</v>
      </c>
      <c r="B7" s="26" t="s">
        <v>108</v>
      </c>
      <c r="C7" s="26" t="s">
        <v>73</v>
      </c>
      <c r="D7" s="26" t="s">
        <v>6</v>
      </c>
      <c r="E7" s="26" t="s">
        <v>7</v>
      </c>
      <c r="F7" s="26" t="s">
        <v>97</v>
      </c>
      <c r="H7" s="26" t="s">
        <v>102</v>
      </c>
      <c r="J7" s="26">
        <v>87</v>
      </c>
      <c r="K7" s="26" t="s">
        <v>6</v>
      </c>
    </row>
    <row r="8" spans="1:12" s="26" customFormat="1" ht="15.6">
      <c r="A8" s="26" t="s">
        <v>84</v>
      </c>
      <c r="B8" s="26" t="s">
        <v>109</v>
      </c>
      <c r="C8" s="26" t="s">
        <v>73</v>
      </c>
      <c r="D8" s="26" t="s">
        <v>6</v>
      </c>
      <c r="E8" s="26" t="s">
        <v>7</v>
      </c>
      <c r="F8" s="26" t="s">
        <v>97</v>
      </c>
      <c r="H8" s="26" t="s">
        <v>102</v>
      </c>
      <c r="J8" s="26">
        <v>98</v>
      </c>
      <c r="K8" s="26" t="s">
        <v>6</v>
      </c>
    </row>
    <row r="9" spans="1:12" s="26" customFormat="1" ht="15.6">
      <c r="A9" s="26" t="s">
        <v>84</v>
      </c>
      <c r="B9" s="26" t="s">
        <v>110</v>
      </c>
      <c r="C9" s="26" t="s">
        <v>73</v>
      </c>
      <c r="D9" s="26" t="s">
        <v>6</v>
      </c>
      <c r="E9" s="26" t="s">
        <v>7</v>
      </c>
      <c r="F9" s="26" t="s">
        <v>97</v>
      </c>
      <c r="H9" s="26" t="s">
        <v>102</v>
      </c>
      <c r="J9" s="26">
        <v>87</v>
      </c>
      <c r="K9" s="26" t="s">
        <v>6</v>
      </c>
    </row>
    <row r="10" spans="1:12" s="26" customFormat="1" ht="15.6">
      <c r="B10" s="26" t="s">
        <v>107</v>
      </c>
      <c r="C10" s="26" t="s">
        <v>73</v>
      </c>
      <c r="D10" s="26" t="s">
        <v>6</v>
      </c>
      <c r="E10" s="26" t="s">
        <v>7</v>
      </c>
      <c r="F10" s="26" t="s">
        <v>101</v>
      </c>
      <c r="H10" s="26" t="s">
        <v>102</v>
      </c>
      <c r="J10" s="26">
        <v>287</v>
      </c>
      <c r="K10" s="26" t="s">
        <v>6</v>
      </c>
    </row>
    <row r="11" spans="1:12" s="26" customFormat="1" ht="15.6">
      <c r="B11" s="26" t="s">
        <v>108</v>
      </c>
      <c r="C11" s="26" t="s">
        <v>73</v>
      </c>
      <c r="D11" s="26" t="s">
        <v>6</v>
      </c>
      <c r="E11" s="26" t="s">
        <v>7</v>
      </c>
      <c r="F11" s="26" t="s">
        <v>101</v>
      </c>
      <c r="H11" s="26" t="s">
        <v>102</v>
      </c>
      <c r="J11" s="26">
        <v>87</v>
      </c>
      <c r="K11" s="26" t="s">
        <v>6</v>
      </c>
    </row>
    <row r="12" spans="1:12" s="26" customFormat="1" ht="15.6">
      <c r="B12" s="26" t="s">
        <v>103</v>
      </c>
      <c r="C12" s="26" t="s">
        <v>73</v>
      </c>
      <c r="D12" s="26" t="s">
        <v>6</v>
      </c>
      <c r="E12" s="26" t="s">
        <v>7</v>
      </c>
      <c r="F12" s="26" t="s">
        <v>101</v>
      </c>
      <c r="H12" s="26" t="s">
        <v>102</v>
      </c>
      <c r="J12" s="26">
        <v>87</v>
      </c>
      <c r="K12" s="26" t="s">
        <v>6</v>
      </c>
    </row>
    <row r="13" spans="1:12" s="26" customFormat="1" ht="15.6">
      <c r="B13" s="26" t="s">
        <v>109</v>
      </c>
      <c r="C13" s="26" t="s">
        <v>73</v>
      </c>
      <c r="D13" s="26" t="s">
        <v>6</v>
      </c>
      <c r="E13" s="26" t="s">
        <v>7</v>
      </c>
      <c r="F13" s="26" t="s">
        <v>101</v>
      </c>
      <c r="H13" s="26" t="s">
        <v>102</v>
      </c>
      <c r="J13" s="26">
        <v>98</v>
      </c>
      <c r="K13" s="26" t="s">
        <v>6</v>
      </c>
    </row>
    <row r="14" spans="1:12" s="26" customFormat="1" ht="15.6">
      <c r="B14" s="26" t="s">
        <v>110</v>
      </c>
      <c r="C14" s="26" t="s">
        <v>73</v>
      </c>
      <c r="D14" s="26" t="s">
        <v>6</v>
      </c>
      <c r="E14" s="26" t="s">
        <v>7</v>
      </c>
      <c r="F14" s="26" t="s">
        <v>101</v>
      </c>
      <c r="H14" s="26" t="s">
        <v>102</v>
      </c>
      <c r="J14" s="26">
        <v>87</v>
      </c>
      <c r="K14" s="26" t="s">
        <v>6</v>
      </c>
    </row>
    <row r="15" spans="1:12" s="26" customFormat="1" ht="15.6">
      <c r="B15" s="26" t="s">
        <v>108</v>
      </c>
      <c r="C15" s="26" t="s">
        <v>73</v>
      </c>
      <c r="D15" s="26" t="s">
        <v>6</v>
      </c>
      <c r="E15" s="26" t="s">
        <v>7</v>
      </c>
      <c r="F15" s="26" t="s">
        <v>111</v>
      </c>
      <c r="H15" s="26" t="s">
        <v>102</v>
      </c>
      <c r="J15" s="26">
        <v>88</v>
      </c>
      <c r="K15" s="26" t="s">
        <v>6</v>
      </c>
    </row>
    <row r="16" spans="1:12" s="26" customFormat="1" ht="15.6">
      <c r="B16" s="26" t="s">
        <v>110</v>
      </c>
      <c r="C16" s="26" t="s">
        <v>73</v>
      </c>
      <c r="D16" s="26" t="s">
        <v>6</v>
      </c>
      <c r="E16" s="26" t="s">
        <v>7</v>
      </c>
      <c r="F16" s="26" t="s">
        <v>111</v>
      </c>
      <c r="H16" s="26" t="s">
        <v>102</v>
      </c>
      <c r="J16" s="26">
        <v>88</v>
      </c>
      <c r="K16" s="26" t="s">
        <v>6</v>
      </c>
    </row>
    <row r="17" spans="1:11" ht="15.6">
      <c r="A17" t="s">
        <v>84</v>
      </c>
      <c r="B17" t="s">
        <v>105</v>
      </c>
      <c r="C17" t="s">
        <v>73</v>
      </c>
      <c r="D17" t="s">
        <v>6</v>
      </c>
      <c r="E17" t="s">
        <v>7</v>
      </c>
      <c r="F17" t="s">
        <v>115</v>
      </c>
      <c r="H17" t="s">
        <v>102</v>
      </c>
      <c r="J17">
        <v>87</v>
      </c>
      <c r="K17" t="s">
        <v>6</v>
      </c>
    </row>
    <row r="18" spans="1:11" ht="15.6">
      <c r="A18" t="s">
        <v>84</v>
      </c>
      <c r="B18" t="s">
        <v>104</v>
      </c>
      <c r="C18" t="s">
        <v>73</v>
      </c>
      <c r="D18" t="s">
        <v>6</v>
      </c>
      <c r="E18" t="s">
        <v>7</v>
      </c>
      <c r="F18" t="s">
        <v>115</v>
      </c>
      <c r="H18" t="s">
        <v>102</v>
      </c>
      <c r="J18">
        <v>87</v>
      </c>
      <c r="K18" t="s">
        <v>6</v>
      </c>
    </row>
    <row r="19" spans="1:11" ht="15.6">
      <c r="A19" t="s">
        <v>84</v>
      </c>
      <c r="B19" t="s">
        <v>106</v>
      </c>
      <c r="C19" t="s">
        <v>73</v>
      </c>
      <c r="D19" t="s">
        <v>6</v>
      </c>
      <c r="E19" t="s">
        <v>7</v>
      </c>
      <c r="F19" t="s">
        <v>115</v>
      </c>
      <c r="H19" t="s">
        <v>102</v>
      </c>
      <c r="J19">
        <v>87</v>
      </c>
      <c r="K19" t="s">
        <v>6</v>
      </c>
    </row>
    <row r="20" spans="1:11" ht="15.6">
      <c r="A20" t="s">
        <v>84</v>
      </c>
      <c r="B20" t="s">
        <v>118</v>
      </c>
      <c r="C20" t="s">
        <v>73</v>
      </c>
      <c r="D20" t="s">
        <v>6</v>
      </c>
      <c r="E20" t="s">
        <v>7</v>
      </c>
      <c r="F20" t="s">
        <v>115</v>
      </c>
      <c r="H20" t="s">
        <v>102</v>
      </c>
      <c r="J20">
        <v>87</v>
      </c>
      <c r="K20" t="s">
        <v>6</v>
      </c>
    </row>
    <row r="21" spans="1:11" ht="15.6">
      <c r="A21" t="s">
        <v>84</v>
      </c>
      <c r="B21" t="s">
        <v>103</v>
      </c>
      <c r="C21" t="s">
        <v>73</v>
      </c>
      <c r="D21" t="s">
        <v>6</v>
      </c>
      <c r="E21" t="s">
        <v>7</v>
      </c>
      <c r="F21" t="s">
        <v>115</v>
      </c>
      <c r="H21" t="s">
        <v>102</v>
      </c>
      <c r="J21">
        <v>87</v>
      </c>
      <c r="K21" t="s">
        <v>6</v>
      </c>
    </row>
  </sheetData>
  <autoFilter ref="A1:L16" xr:uid="{00000000-0009-0000-0000-000005000000}"/>
  <conditionalFormatting sqref="B1">
    <cfRule type="duplicateValues" dxfId="0" priority="2"/>
  </conditionalFormatting>
  <dataValidations count="2">
    <dataValidation type="list" allowBlank="1" showInputMessage="1" showErrorMessage="1" sqref="D22:D1048576 K22:K1048576 K2:K16 D2:D16" xr:uid="{00000000-0002-0000-0500-000000000000}">
      <formula1>_BOOLEAN</formula1>
    </dataValidation>
    <dataValidation type="list" allowBlank="1" showInputMessage="1" showErrorMessage="1" sqref="D17 K17" xr:uid="{11FD5A13-28AA-4419-8FD6-5A7B6037BB11}">
      <formula1>_BOOLEAN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C22:C1048576 C2:C16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E22:E1048576 E2:E16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H22:H1048576 H2:H16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A22:A1048576 A2:A16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5676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B19" sqref="B19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10</cp:revision>
  <dcterms:created xsi:type="dcterms:W3CDTF">2017-02-20T03:25:01Z</dcterms:created>
  <dcterms:modified xsi:type="dcterms:W3CDTF">2023-05-30T10:28:37Z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